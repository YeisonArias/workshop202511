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 JAVA\202511\Básico\"/>
    </mc:Choice>
  </mc:AlternateContent>
  <xr:revisionPtr revIDLastSave="0" documentId="13_ncr:1_{DB3F5EF3-DD75-4CED-9890-4DD6889BB1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I" sheetId="1" r:id="rId1"/>
    <sheet name="Graficos" sheetId="2" r:id="rId2"/>
    <sheet name="Parámetros" sheetId="3" r:id="rId3"/>
  </sheets>
  <definedNames>
    <definedName name="_xlnm.Print_Area" localSheetId="1">Graficos!$A$1:$R$1048562</definedName>
    <definedName name="Costo_Acumulado_Automatización_Vs_Manual">Graficos!$B$59</definedName>
    <definedName name="Horas_acumuladas_Automatización_Vs_Manual">Graficos!$B$41</definedName>
    <definedName name="PROYECCIÓN_TIEMPOS_Y_COSTOS_ACUMULADOS">Graficos!$B$3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D9" i="2" l="1"/>
  <c r="D10" i="2" s="1"/>
  <c r="N11" i="1"/>
  <c r="N10" i="1"/>
  <c r="N9" i="1"/>
  <c r="N8" i="1"/>
  <c r="E11" i="2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M7" i="1"/>
  <c r="K11" i="1"/>
  <c r="K10" i="1"/>
  <c r="K9" i="1"/>
  <c r="K8" i="1"/>
  <c r="J7" i="1"/>
  <c r="G7" i="1"/>
  <c r="E18" i="1" s="1"/>
  <c r="F7" i="1"/>
  <c r="E7" i="1"/>
  <c r="N7" i="1" l="1"/>
  <c r="K7" i="1"/>
  <c r="E22" i="1" s="1"/>
  <c r="I7" i="1"/>
  <c r="E20" i="1" s="1"/>
  <c r="D11" i="2" s="1"/>
  <c r="D15" i="2" l="1"/>
  <c r="D17" i="2" s="1"/>
  <c r="D12" i="2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E21" i="1"/>
  <c r="E7" i="2" s="1"/>
  <c r="L7" i="1"/>
  <c r="H7" i="1"/>
  <c r="D16" i="2" l="1"/>
  <c r="E23" i="1"/>
  <c r="D13" i="2" s="1"/>
  <c r="E13" i="2"/>
  <c r="E8" i="2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E24" i="1"/>
  <c r="D14" i="2" s="1"/>
  <c r="E14" i="2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E9" i="2" l="1"/>
  <c r="F9" i="2" s="1"/>
  <c r="F10" i="2" s="1"/>
  <c r="F13" i="2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E15" i="2"/>
  <c r="E16" i="2" s="1"/>
  <c r="E10" i="2" l="1"/>
  <c r="E20" i="2" s="1"/>
  <c r="E18" i="2"/>
  <c r="E19" i="2"/>
  <c r="E21" i="2"/>
  <c r="F15" i="2"/>
  <c r="F16" i="2" s="1"/>
  <c r="E17" i="2"/>
  <c r="G9" i="2"/>
  <c r="G10" i="2" s="1"/>
  <c r="F18" i="2"/>
  <c r="F20" i="2" l="1"/>
  <c r="E22" i="2"/>
  <c r="E23" i="2" s="1"/>
  <c r="G18" i="2"/>
  <c r="G20" i="2"/>
  <c r="H9" i="2"/>
  <c r="H10" i="2" s="1"/>
  <c r="G15" i="2"/>
  <c r="G16" i="2" s="1"/>
  <c r="F19" i="2"/>
  <c r="F21" i="2"/>
  <c r="F17" i="2"/>
  <c r="F22" i="2" l="1"/>
  <c r="F23" i="2" s="1"/>
  <c r="I9" i="2"/>
  <c r="H18" i="2"/>
  <c r="H20" i="2"/>
  <c r="H15" i="2"/>
  <c r="H16" i="2" s="1"/>
  <c r="G21" i="2"/>
  <c r="G22" i="2" s="1"/>
  <c r="G19" i="2"/>
  <c r="G17" i="2"/>
  <c r="G23" i="2" l="1"/>
  <c r="H21" i="2"/>
  <c r="H22" i="2" s="1"/>
  <c r="H19" i="2"/>
  <c r="I15" i="2"/>
  <c r="I16" i="2" s="1"/>
  <c r="H17" i="2"/>
  <c r="J9" i="2"/>
  <c r="I10" i="2"/>
  <c r="I20" i="2" s="1"/>
  <c r="I18" i="2"/>
  <c r="H23" i="2" l="1"/>
  <c r="I19" i="2"/>
  <c r="I21" i="2"/>
  <c r="I22" i="2" s="1"/>
  <c r="J15" i="2"/>
  <c r="J16" i="2" s="1"/>
  <c r="I17" i="2"/>
  <c r="J10" i="2"/>
  <c r="J20" i="2" s="1"/>
  <c r="K9" i="2"/>
  <c r="J18" i="2"/>
  <c r="I23" i="2" l="1"/>
  <c r="K15" i="2"/>
  <c r="K16" i="2" s="1"/>
  <c r="J19" i="2"/>
  <c r="J21" i="2"/>
  <c r="J22" i="2" s="1"/>
  <c r="J17" i="2"/>
  <c r="K18" i="2"/>
  <c r="K10" i="2"/>
  <c r="K20" i="2" s="1"/>
  <c r="L9" i="2"/>
  <c r="J23" i="2" l="1"/>
  <c r="L15" i="2"/>
  <c r="L16" i="2" s="1"/>
  <c r="K21" i="2"/>
  <c r="K22" i="2" s="1"/>
  <c r="K19" i="2"/>
  <c r="K17" i="2"/>
  <c r="M9" i="2"/>
  <c r="L18" i="2"/>
  <c r="L10" i="2"/>
  <c r="L20" i="2" s="1"/>
  <c r="K23" i="2" l="1"/>
  <c r="L21" i="2"/>
  <c r="L22" i="2" s="1"/>
  <c r="M15" i="2"/>
  <c r="M16" i="2" s="1"/>
  <c r="L17" i="2"/>
  <c r="N9" i="2"/>
  <c r="M10" i="2"/>
  <c r="M20" i="2" s="1"/>
  <c r="M18" i="2"/>
  <c r="N51" i="1" l="1"/>
  <c r="L23" i="2"/>
  <c r="N10" i="2"/>
  <c r="N20" i="2" s="1"/>
  <c r="O9" i="2"/>
  <c r="N18" i="2"/>
  <c r="M21" i="2"/>
  <c r="M22" i="2" s="1"/>
  <c r="N15" i="2"/>
  <c r="N16" i="2" s="1"/>
  <c r="M17" i="2"/>
  <c r="O18" i="2" l="1"/>
  <c r="O10" i="2"/>
  <c r="O20" i="2" s="1"/>
  <c r="P9" i="2"/>
  <c r="M23" i="2"/>
  <c r="O15" i="2"/>
  <c r="O16" i="2" s="1"/>
  <c r="N21" i="2"/>
  <c r="N22" i="2" s="1"/>
  <c r="N17" i="2"/>
  <c r="P15" i="2" l="1"/>
  <c r="P16" i="2" s="1"/>
  <c r="O21" i="2"/>
  <c r="O22" i="2" s="1"/>
  <c r="O17" i="2"/>
  <c r="N23" i="2"/>
  <c r="Q9" i="2"/>
  <c r="P18" i="2"/>
  <c r="P10" i="2"/>
  <c r="P20" i="2" s="1"/>
  <c r="R9" i="2" l="1"/>
  <c r="Q10" i="2"/>
  <c r="Q20" i="2" s="1"/>
  <c r="Q18" i="2"/>
  <c r="P21" i="2"/>
  <c r="P22" i="2" s="1"/>
  <c r="Q15" i="2"/>
  <c r="Q16" i="2" s="1"/>
  <c r="P17" i="2"/>
  <c r="O23" i="2"/>
  <c r="Q21" i="2" l="1"/>
  <c r="Q22" i="2" s="1"/>
  <c r="R15" i="2"/>
  <c r="R16" i="2" s="1"/>
  <c r="Q17" i="2"/>
  <c r="R10" i="2"/>
  <c r="R20" i="2" s="1"/>
  <c r="R18" i="2"/>
  <c r="P23" i="2"/>
  <c r="R21" i="2" l="1"/>
  <c r="R22" i="2" s="1"/>
  <c r="R17" i="2"/>
  <c r="Q23" i="2"/>
  <c r="R2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parte del supuesto de revisión del 30% de los casos de prueba</t>
        </r>
      </text>
    </comment>
  </commentList>
</comments>
</file>

<file path=xl/sharedStrings.xml><?xml version="1.0" encoding="utf-8"?>
<sst xmlns="http://schemas.openxmlformats.org/spreadsheetml/2006/main" count="85" uniqueCount="81">
  <si>
    <t>Orden de atención</t>
  </si>
  <si>
    <t>Funcionalidad</t>
  </si>
  <si>
    <t># Objetos</t>
  </si>
  <si>
    <t>Tiempo de  Preparación de dato (todos los casos)(h)</t>
  </si>
  <si>
    <t>Revisión  Evidencias (h)</t>
  </si>
  <si>
    <t>Promedios/Totales</t>
  </si>
  <si>
    <t>Cantidad de casos de prueba promedio</t>
  </si>
  <si>
    <t>Automatización Inicial</t>
  </si>
  <si>
    <t>Inversión inicial en automatización</t>
  </si>
  <si>
    <t>Preparación de datos (RRHH)</t>
  </si>
  <si>
    <t>Revisión de Evidencias (RRHH)</t>
  </si>
  <si>
    <t>Ejecución Manual (hrs)</t>
  </si>
  <si>
    <t>Preparación de datos (hrs)</t>
  </si>
  <si>
    <t>Ejecución Automática (hrs)</t>
  </si>
  <si>
    <t>Costo Acumulado Ejecución Manual (COP)</t>
  </si>
  <si>
    <t>Acumulado Ejecución Automatización (hrs)</t>
  </si>
  <si>
    <t>Costo Acumulado Ejecución Automatizada (COP)</t>
  </si>
  <si>
    <t>Número de veces que se debe ejecutar el proceso</t>
  </si>
  <si>
    <t>Tiempo necesario para preparar datos en cada corrida</t>
  </si>
  <si>
    <t>Tiempo estimado para ejecutar una corrida de manera manual</t>
  </si>
  <si>
    <t>Tiempo estimado para ejecutar una corrida de manera automática</t>
  </si>
  <si>
    <t>Tiempo estimado para revision de resultados despues de ejecutar el proceso automático</t>
  </si>
  <si>
    <t>Tiempo necesario para automatizar</t>
  </si>
  <si>
    <t>Esfuerzo estimado para automatizar (h)</t>
  </si>
  <si>
    <t># Pantallas</t>
  </si>
  <si>
    <t>Datos generales</t>
  </si>
  <si>
    <t>Datos automatización</t>
  </si>
  <si>
    <t>Datos ejecución manual</t>
  </si>
  <si>
    <t>Tiempo de ejecución estimada por caso (min)</t>
  </si>
  <si>
    <t>Ejecución Estimada Total (h)</t>
  </si>
  <si>
    <t>Actividades</t>
  </si>
  <si>
    <t>Párametros consolidados</t>
  </si>
  <si>
    <t>PROYECCIÓN TIEMPOS Y COSTOS ACUMULADOS</t>
  </si>
  <si>
    <t>Delta entre corridas AUTO (hrs)</t>
  </si>
  <si>
    <t>Delta entre corridas MAN (hrs)</t>
  </si>
  <si>
    <t>Delta entre corridas AUTO (COP)</t>
  </si>
  <si>
    <t>Delta entre corridas MAN (COP)</t>
  </si>
  <si>
    <t>Ahorro en cada corrida (COP)</t>
  </si>
  <si>
    <t>Ahorro acumulado (COP)</t>
  </si>
  <si>
    <t>Datos ejecución MANUAL</t>
  </si>
  <si>
    <t>Datos ejecución  AUTOMATIZADA</t>
  </si>
  <si>
    <t>COMPARATIVOS</t>
  </si>
  <si>
    <t>Acumulado Ejecución Manual (hrs)</t>
  </si>
  <si>
    <t>Delta acumulado (AUTOM - MAN) (hrs)</t>
  </si>
  <si>
    <t>INFORMACIÓN GENERAL</t>
  </si>
  <si>
    <t>Proyección Tiempos y Costos Acumulados</t>
  </si>
  <si>
    <t xml:space="preserve">Horas acumuladas Automatización Vs Manual  </t>
  </si>
  <si>
    <t xml:space="preserve">Costo Acumulado Automatización Vs Manual </t>
  </si>
  <si>
    <r>
      <t xml:space="preserve"># Casos o </t>
    </r>
    <r>
      <rPr>
        <sz val="10"/>
        <color rgb="FFFFFF00"/>
        <rFont val="Calibri"/>
        <family val="2"/>
        <scheme val="minor"/>
      </rPr>
      <t>subprocesos</t>
    </r>
    <r>
      <rPr>
        <sz val="10"/>
        <color theme="0"/>
        <rFont val="Calibri"/>
        <family val="2"/>
        <scheme val="minor"/>
      </rPr>
      <t xml:space="preserve"> de prueba diseñados</t>
    </r>
  </si>
  <si>
    <t>Nombre técnico</t>
  </si>
  <si>
    <t>Porcentaje de casos de prueba que demandarán una revisión exautiva de las evidencias</t>
  </si>
  <si>
    <t>Tiempo estimado para revision de evidencia de cada caso de prueba (min)</t>
  </si>
  <si>
    <t>SUBTOTALES</t>
  </si>
  <si>
    <t>Esfuerzo promedio requerido para mantenimiento de una funcionalidad (hrs)</t>
  </si>
  <si>
    <t>Funcionalidad 1</t>
  </si>
  <si>
    <t>Funcionalidad 2</t>
  </si>
  <si>
    <t>Funcionalidad 3</t>
  </si>
  <si>
    <t>Funcionalidad 4</t>
  </si>
  <si>
    <t>Valor Hora Pruebas MANUALES</t>
  </si>
  <si>
    <t>Valor Hora Pruebas AUTOMATIZACIÓN</t>
  </si>
  <si>
    <t>Ejecución 1</t>
  </si>
  <si>
    <t>Ejecución 2</t>
  </si>
  <si>
    <t>Ejecución 3</t>
  </si>
  <si>
    <t>Ejecución 4</t>
  </si>
  <si>
    <t>Ejecución 5</t>
  </si>
  <si>
    <t>Ejecución 6</t>
  </si>
  <si>
    <t>Ejecución 7</t>
  </si>
  <si>
    <t>Ejecución 8</t>
  </si>
  <si>
    <t>Ejecución 9</t>
  </si>
  <si>
    <t>Ejecución 10</t>
  </si>
  <si>
    <t>Ejecución 11</t>
  </si>
  <si>
    <t>Ejecución 12</t>
  </si>
  <si>
    <t>Ejecución 13</t>
  </si>
  <si>
    <t>Ejecución 14</t>
  </si>
  <si>
    <t>Sprint 1</t>
  </si>
  <si>
    <t>Sprint 2</t>
  </si>
  <si>
    <t>Sprint 3</t>
  </si>
  <si>
    <t>Sprint 4</t>
  </si>
  <si>
    <t>Sprint 5</t>
  </si>
  <si>
    <t>Sprint 6</t>
  </si>
  <si>
    <t>Sprint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</si>
</sst>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0.0"/>
    <numFmt numFmtId="167" formatCode="&quot;$&quot;\ #,##0.0_);[Red]\(&quot;$&quot;\ #,##0.0\)"/>
    <numFmt numFmtId="168" formatCode="_(&quot;$&quot;\ * #,##0.0_);_(&quot;$&quot;\ * \(#,##0.0\);_(&quot;$&quot;\ * &quot;-&quot;?_);_(@_)"/>
    <numFmt numFmtId="169" formatCode="_(&quot;$&quot;\ * #,##0_);_(&quot;$&quot;\ * \(#,##0\);_(&quot;$&quot;\ * &quot;-&quot;??_);_(@_)"/>
    <numFmt numFmtId="170" formatCode="_(* #,##0.0_);_(* \(#,##0.0\);_(* &quot;-&quot;??_);_(@_)"/>
    <numFmt numFmtId="171" formatCode="_(* #,##0_);_(* \(#,##0\);_(* &quot;-&quot;??_);_(@_)"/>
    <numFmt numFmtId="172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sz val="10"/>
      <color rgb="FFFFFF00"/>
      <name val="Calibri"/>
      <family val="2"/>
      <scheme val="minor"/>
    </font>
    <font>
      <i/>
      <sz val="10"/>
      <color rgb="FF00000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1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9" fontId="2" fillId="0" borderId="0" xfId="3" applyFont="1"/>
    <xf numFmtId="168" fontId="2" fillId="0" borderId="0" xfId="0" applyNumberFormat="1" applyFont="1"/>
    <xf numFmtId="0" fontId="2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indent="5"/>
    </xf>
    <xf numFmtId="0" fontId="2" fillId="3" borderId="1" xfId="0" applyFont="1" applyFill="1" applyBorder="1" applyAlignment="1">
      <alignment wrapText="1"/>
    </xf>
    <xf numFmtId="169" fontId="2" fillId="3" borderId="1" xfId="2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170" fontId="2" fillId="4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/>
    <xf numFmtId="164" fontId="2" fillId="0" borderId="0" xfId="0" applyNumberFormat="1" applyFont="1"/>
    <xf numFmtId="171" fontId="2" fillId="3" borderId="1" xfId="1" applyNumberFormat="1" applyFont="1" applyFill="1" applyBorder="1" applyAlignment="1">
      <alignment horizontal="center" vertical="center"/>
    </xf>
    <xf numFmtId="170" fontId="2" fillId="3" borderId="1" xfId="1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/>
    <xf numFmtId="166" fontId="2" fillId="3" borderId="1" xfId="0" applyNumberFormat="1" applyFont="1" applyFill="1" applyBorder="1"/>
    <xf numFmtId="169" fontId="2" fillId="3" borderId="1" xfId="3" applyNumberFormat="1" applyFont="1" applyFill="1" applyBorder="1"/>
    <xf numFmtId="167" fontId="10" fillId="0" borderId="0" xfId="4" applyNumberFormat="1" applyAlignment="1" applyProtection="1"/>
    <xf numFmtId="167" fontId="5" fillId="0" borderId="0" xfId="0" applyNumberFormat="1" applyFont="1"/>
    <xf numFmtId="0" fontId="2" fillId="6" borderId="1" xfId="0" applyFont="1" applyFill="1" applyBorder="1" applyAlignment="1">
      <alignment wrapText="1"/>
    </xf>
    <xf numFmtId="170" fontId="2" fillId="6" borderId="1" xfId="0" applyNumberFormat="1" applyFont="1" applyFill="1" applyBorder="1" applyAlignment="1">
      <alignment horizontal="center" vertical="center"/>
    </xf>
    <xf numFmtId="169" fontId="2" fillId="6" borderId="1" xfId="2" applyNumberFormat="1" applyFont="1" applyFill="1" applyBorder="1" applyAlignment="1">
      <alignment horizontal="center" vertical="center"/>
    </xf>
    <xf numFmtId="169" fontId="2" fillId="4" borderId="1" xfId="2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right" vertical="center"/>
    </xf>
    <xf numFmtId="169" fontId="11" fillId="3" borderId="1" xfId="2" applyNumberFormat="1" applyFont="1" applyFill="1" applyBorder="1" applyAlignment="1">
      <alignment horizontal="center" vertical="center"/>
    </xf>
    <xf numFmtId="0" fontId="11" fillId="3" borderId="1" xfId="0" applyFont="1" applyFill="1" applyBorder="1"/>
    <xf numFmtId="0" fontId="7" fillId="6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5" fillId="0" borderId="0" xfId="0" applyFont="1"/>
    <xf numFmtId="1" fontId="8" fillId="8" borderId="1" xfId="0" applyNumberFormat="1" applyFont="1" applyFill="1" applyBorder="1" applyAlignment="1">
      <alignment horizontal="center" vertical="center"/>
    </xf>
    <xf numFmtId="166" fontId="8" fillId="8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72" fontId="2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wrapText="1"/>
    </xf>
    <xf numFmtId="9" fontId="0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6" fontId="2" fillId="4" borderId="1" xfId="0" applyNumberFormat="1" applyFont="1" applyFill="1" applyBorder="1" applyAlignment="1">
      <alignment horizontal="right" vertical="center"/>
    </xf>
    <xf numFmtId="170" fontId="2" fillId="10" borderId="1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8" fillId="7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2" fillId="9" borderId="11" xfId="0" applyNumberFormat="1" applyFont="1" applyFill="1" applyBorder="1" applyAlignment="1">
      <alignment horizontal="center"/>
    </xf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Horas acumuladas Automatización Vs </a:t>
            </a:r>
            <a:r>
              <a:rPr lang="es-CO" sz="1800" b="1" i="0" u="none" strike="noStrike" baseline="0"/>
              <a:t>Manual </a:t>
            </a:r>
            <a:endParaRPr lang="es-CO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Graficos!$C$15</c:f>
              <c:strCache>
                <c:ptCount val="1"/>
                <c:pt idx="0">
                  <c:v>Acumulado Ejecución Automatización (hrs)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</c:spPr>
          </c:marker>
          <c:cat>
            <c:strRef>
              <c:f>Graficos!$D$6:$P$6</c:f>
              <c:strCache>
                <c:ptCount val="13"/>
                <c:pt idx="0">
                  <c:v>Automatización Inicial</c:v>
                </c:pt>
                <c:pt idx="1">
                  <c:v>Ejecución 1</c:v>
                </c:pt>
                <c:pt idx="2">
                  <c:v>Ejecución 2</c:v>
                </c:pt>
                <c:pt idx="3">
                  <c:v>Ejecución 3</c:v>
                </c:pt>
                <c:pt idx="4">
                  <c:v>Ejecución 4</c:v>
                </c:pt>
                <c:pt idx="5">
                  <c:v>Ejecución 5</c:v>
                </c:pt>
                <c:pt idx="6">
                  <c:v>Ejecución 6</c:v>
                </c:pt>
                <c:pt idx="7">
                  <c:v>Ejecución 7</c:v>
                </c:pt>
                <c:pt idx="8">
                  <c:v>Ejecución 8</c:v>
                </c:pt>
                <c:pt idx="9">
                  <c:v>Ejecución 9</c:v>
                </c:pt>
                <c:pt idx="10">
                  <c:v>Ejecución 10</c:v>
                </c:pt>
                <c:pt idx="11">
                  <c:v>Ejecución 11</c:v>
                </c:pt>
                <c:pt idx="12">
                  <c:v>Ejecución 12</c:v>
                </c:pt>
              </c:strCache>
            </c:strRef>
          </c:cat>
          <c:val>
            <c:numRef>
              <c:f>Graficos!$D$15:$P$15</c:f>
              <c:numCache>
                <c:formatCode>_(* #,##0.0_);_(* \(#,##0.0\);_(*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5-419C-A33D-7D1951002EF1}"/>
            </c:ext>
          </c:extLst>
        </c:ser>
        <c:ser>
          <c:idx val="4"/>
          <c:order val="1"/>
          <c:tx>
            <c:strRef>
              <c:f>Graficos!$C$9</c:f>
              <c:strCache>
                <c:ptCount val="1"/>
                <c:pt idx="0">
                  <c:v>Acumulado Ejecución Manual (hrs)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cat>
            <c:strRef>
              <c:f>Graficos!$D$6:$P$6</c:f>
              <c:strCache>
                <c:ptCount val="13"/>
                <c:pt idx="0">
                  <c:v>Automatización Inicial</c:v>
                </c:pt>
                <c:pt idx="1">
                  <c:v>Ejecución 1</c:v>
                </c:pt>
                <c:pt idx="2">
                  <c:v>Ejecución 2</c:v>
                </c:pt>
                <c:pt idx="3">
                  <c:v>Ejecución 3</c:v>
                </c:pt>
                <c:pt idx="4">
                  <c:v>Ejecución 4</c:v>
                </c:pt>
                <c:pt idx="5">
                  <c:v>Ejecución 5</c:v>
                </c:pt>
                <c:pt idx="6">
                  <c:v>Ejecución 6</c:v>
                </c:pt>
                <c:pt idx="7">
                  <c:v>Ejecución 7</c:v>
                </c:pt>
                <c:pt idx="8">
                  <c:v>Ejecución 8</c:v>
                </c:pt>
                <c:pt idx="9">
                  <c:v>Ejecución 9</c:v>
                </c:pt>
                <c:pt idx="10">
                  <c:v>Ejecución 10</c:v>
                </c:pt>
                <c:pt idx="11">
                  <c:v>Ejecución 11</c:v>
                </c:pt>
                <c:pt idx="12">
                  <c:v>Ejecución 12</c:v>
                </c:pt>
              </c:strCache>
            </c:strRef>
          </c:cat>
          <c:val>
            <c:numRef>
              <c:f>Graficos!$D$9:$P$9</c:f>
              <c:numCache>
                <c:formatCode>_(* #,##0.0_);_(* \(#,##0.0\);_(*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5-419C-A33D-7D1951002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03616"/>
        <c:axId val="67936832"/>
      </c:lineChart>
      <c:catAx>
        <c:axId val="9150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Corridas ejecutadas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936832"/>
        <c:crosses val="autoZero"/>
        <c:auto val="1"/>
        <c:lblAlgn val="ctr"/>
        <c:lblOffset val="100"/>
        <c:noMultiLvlLbl val="0"/>
      </c:catAx>
      <c:valAx>
        <c:axId val="679368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CO"/>
                  <a:t>Horas acumuladas</a:t>
                </a:r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crossAx val="91503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Costo</a:t>
            </a:r>
            <a:r>
              <a:rPr lang="es-CO" baseline="0"/>
              <a:t> Acumulado Automatización Vs Manual</a:t>
            </a:r>
            <a:endParaRPr lang="es-CO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Graficos!$C$16</c:f>
              <c:strCache>
                <c:ptCount val="1"/>
                <c:pt idx="0">
                  <c:v>Costo Acumulado Ejecución Automatizada (COP)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</c:spPr>
          </c:marker>
          <c:cat>
            <c:strRef>
              <c:f>Graficos!$D$6:$L$6</c:f>
              <c:strCache>
                <c:ptCount val="9"/>
                <c:pt idx="0">
                  <c:v>Automatización Inicial</c:v>
                </c:pt>
                <c:pt idx="1">
                  <c:v>Ejecución 1</c:v>
                </c:pt>
                <c:pt idx="2">
                  <c:v>Ejecución 2</c:v>
                </c:pt>
                <c:pt idx="3">
                  <c:v>Ejecución 3</c:v>
                </c:pt>
                <c:pt idx="4">
                  <c:v>Ejecución 4</c:v>
                </c:pt>
                <c:pt idx="5">
                  <c:v>Ejecución 5</c:v>
                </c:pt>
                <c:pt idx="6">
                  <c:v>Ejecución 6</c:v>
                </c:pt>
                <c:pt idx="7">
                  <c:v>Ejecución 7</c:v>
                </c:pt>
                <c:pt idx="8">
                  <c:v>Ejecución 8</c:v>
                </c:pt>
              </c:strCache>
            </c:strRef>
          </c:cat>
          <c:val>
            <c:numRef>
              <c:f>Graficos!$D$16:$L$16</c:f>
              <c:numCache>
                <c:formatCode>_("$"\ * #,##0_);_("$"\ * \(#,##0\);_("$"\ 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3-435C-B4F8-CA9D990A5F41}"/>
            </c:ext>
          </c:extLst>
        </c:ser>
        <c:ser>
          <c:idx val="4"/>
          <c:order val="1"/>
          <c:tx>
            <c:strRef>
              <c:f>Graficos!$C$10</c:f>
              <c:strCache>
                <c:ptCount val="1"/>
                <c:pt idx="0">
                  <c:v>Costo Acumulado Ejecución Manual (COP)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cat>
            <c:strRef>
              <c:f>Graficos!$D$6:$L$6</c:f>
              <c:strCache>
                <c:ptCount val="9"/>
                <c:pt idx="0">
                  <c:v>Automatización Inicial</c:v>
                </c:pt>
                <c:pt idx="1">
                  <c:v>Ejecución 1</c:v>
                </c:pt>
                <c:pt idx="2">
                  <c:v>Ejecución 2</c:v>
                </c:pt>
                <c:pt idx="3">
                  <c:v>Ejecución 3</c:v>
                </c:pt>
                <c:pt idx="4">
                  <c:v>Ejecución 4</c:v>
                </c:pt>
                <c:pt idx="5">
                  <c:v>Ejecución 5</c:v>
                </c:pt>
                <c:pt idx="6">
                  <c:v>Ejecución 6</c:v>
                </c:pt>
                <c:pt idx="7">
                  <c:v>Ejecución 7</c:v>
                </c:pt>
                <c:pt idx="8">
                  <c:v>Ejecución 8</c:v>
                </c:pt>
              </c:strCache>
            </c:strRef>
          </c:cat>
          <c:val>
            <c:numRef>
              <c:f>Graficos!$D$10:$L$10</c:f>
              <c:numCache>
                <c:formatCode>_("$"\ * #,##0_);_("$"\ * \(#,##0\);_("$"\ 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3-435C-B4F8-CA9D990A5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68032"/>
        <c:axId val="67939136"/>
      </c:lineChart>
      <c:catAx>
        <c:axId val="9386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Corridas ejecutadas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939136"/>
        <c:crosses val="autoZero"/>
        <c:auto val="1"/>
        <c:lblAlgn val="ctr"/>
        <c:lblOffset val="100"/>
        <c:noMultiLvlLbl val="0"/>
      </c:catAx>
      <c:valAx>
        <c:axId val="679391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CO"/>
                  <a:t>Pesos</a:t>
                </a:r>
              </a:p>
            </c:rich>
          </c:tx>
          <c:overlay val="0"/>
        </c:title>
        <c:numFmt formatCode="_(&quot;$&quot;\ * #,##0_);_(&quot;$&quot;\ * \(#,##0\);_(&quot;$&quot;\ * &quot;-&quot;??_);_(@_)" sourceLinked="1"/>
        <c:majorTickMark val="out"/>
        <c:minorTickMark val="none"/>
        <c:tickLblPos val="nextTo"/>
        <c:crossAx val="93868032"/>
        <c:crosses val="autoZero"/>
        <c:crossBetween val="between"/>
        <c:dispUnits>
          <c:builtInUnit val="millions"/>
          <c:dispUnitsLbl/>
        </c:dispUnits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24</xdr:row>
      <xdr:rowOff>9525</xdr:rowOff>
    </xdr:from>
    <xdr:to>
      <xdr:col>15</xdr:col>
      <xdr:colOff>9525</xdr:colOff>
      <xdr:row>43</xdr:row>
      <xdr:rowOff>114300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</xdr:colOff>
      <xdr:row>45</xdr:row>
      <xdr:rowOff>133351</xdr:rowOff>
    </xdr:from>
    <xdr:to>
      <xdr:col>15</xdr:col>
      <xdr:colOff>66675</xdr:colOff>
      <xdr:row>66</xdr:row>
      <xdr:rowOff>133350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V51"/>
  <sheetViews>
    <sheetView showGridLines="0" tabSelected="1" topLeftCell="A8" zoomScaleNormal="100" workbookViewId="0">
      <selection activeCell="E19" sqref="E19"/>
    </sheetView>
  </sheetViews>
  <sheetFormatPr baseColWidth="10" defaultColWidth="0" defaultRowHeight="12.75" zeroHeight="1" x14ac:dyDescent="0.2"/>
  <cols>
    <col min="1" max="1" width="2.85546875" style="1" customWidth="1"/>
    <col min="2" max="2" width="16.28515625" style="1" bestFit="1" customWidth="1"/>
    <col min="3" max="3" width="13.28515625" style="1" hidden="1" customWidth="1"/>
    <col min="4" max="4" width="36.7109375" style="1" customWidth="1"/>
    <col min="5" max="5" width="14.5703125" style="1" customWidth="1"/>
    <col min="6" max="7" width="15.5703125" style="1" bestFit="1" customWidth="1"/>
    <col min="8" max="8" width="19.85546875" style="1" customWidth="1"/>
    <col min="9" max="9" width="15.28515625" style="1" customWidth="1"/>
    <col min="10" max="10" width="17.85546875" style="1" customWidth="1"/>
    <col min="11" max="11" width="18.7109375" style="1" customWidth="1"/>
    <col min="12" max="12" width="18.5703125" style="1" customWidth="1"/>
    <col min="13" max="13" width="18.140625" style="1" customWidth="1"/>
    <col min="14" max="14" width="19.42578125" style="1" customWidth="1"/>
    <col min="15" max="15" width="7.140625" style="1" customWidth="1"/>
    <col min="16" max="16" width="14.28515625" style="1" hidden="1" customWidth="1"/>
    <col min="17" max="17" width="17.85546875" style="1" hidden="1" customWidth="1"/>
    <col min="18" max="18" width="16.7109375" style="1" hidden="1" customWidth="1"/>
    <col min="19" max="19" width="13" style="1" hidden="1" customWidth="1"/>
    <col min="20" max="20" width="9.140625" style="1" hidden="1" customWidth="1"/>
    <col min="21" max="22" width="15.140625" style="1" hidden="1" customWidth="1"/>
    <col min="23" max="16384" width="38.28515625" style="1" hidden="1"/>
  </cols>
  <sheetData>
    <row r="1" spans="2:19" ht="13.5" thickBot="1" x14ac:dyDescent="0.25"/>
    <row r="2" spans="2:19" x14ac:dyDescent="0.2">
      <c r="B2" s="61" t="s">
        <v>44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</row>
    <row r="3" spans="2:19" ht="13.5" thickBot="1" x14ac:dyDescent="0.25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2:19" x14ac:dyDescent="0.2"/>
    <row r="5" spans="2:19" ht="28.5" customHeight="1" x14ac:dyDescent="0.2">
      <c r="B5" s="7"/>
      <c r="C5" s="7"/>
      <c r="D5" s="7"/>
      <c r="E5" s="60" t="s">
        <v>25</v>
      </c>
      <c r="F5" s="60"/>
      <c r="G5" s="60"/>
      <c r="H5" s="60"/>
      <c r="I5" s="60" t="s">
        <v>26</v>
      </c>
      <c r="J5" s="60"/>
      <c r="K5" s="60"/>
      <c r="L5" s="60"/>
      <c r="M5" s="60" t="s">
        <v>27</v>
      </c>
      <c r="N5" s="60"/>
    </row>
    <row r="6" spans="2:19" ht="38.25" customHeight="1" x14ac:dyDescent="0.2">
      <c r="B6" s="58" t="s">
        <v>0</v>
      </c>
      <c r="C6" s="8" t="s">
        <v>49</v>
      </c>
      <c r="D6" s="8" t="s">
        <v>1</v>
      </c>
      <c r="E6" s="9" t="s">
        <v>24</v>
      </c>
      <c r="F6" s="8" t="s">
        <v>2</v>
      </c>
      <c r="G6" s="9" t="s">
        <v>48</v>
      </c>
      <c r="H6" s="9" t="s">
        <v>3</v>
      </c>
      <c r="I6" s="9" t="s">
        <v>23</v>
      </c>
      <c r="J6" s="9" t="s">
        <v>28</v>
      </c>
      <c r="K6" s="9" t="s">
        <v>29</v>
      </c>
      <c r="L6" s="9" t="s">
        <v>4</v>
      </c>
      <c r="M6" s="9" t="s">
        <v>28</v>
      </c>
      <c r="N6" s="9" t="s">
        <v>29</v>
      </c>
    </row>
    <row r="7" spans="2:19" x14ac:dyDescent="0.2">
      <c r="B7" s="58"/>
      <c r="C7" s="8"/>
      <c r="D7" s="44" t="s">
        <v>5</v>
      </c>
      <c r="E7" s="41">
        <f t="shared" ref="E7:N7" si="0">SUM(E8:E11)</f>
        <v>0</v>
      </c>
      <c r="F7" s="41">
        <f t="shared" si="0"/>
        <v>0</v>
      </c>
      <c r="G7" s="41">
        <f t="shared" si="0"/>
        <v>0</v>
      </c>
      <c r="H7" s="42">
        <f t="shared" si="0"/>
        <v>0</v>
      </c>
      <c r="I7" s="41">
        <f t="shared" si="0"/>
        <v>0</v>
      </c>
      <c r="J7" s="41">
        <f t="shared" si="0"/>
        <v>0</v>
      </c>
      <c r="K7" s="43">
        <f t="shared" si="0"/>
        <v>0</v>
      </c>
      <c r="L7" s="43">
        <f t="shared" si="0"/>
        <v>0</v>
      </c>
      <c r="M7" s="41">
        <f t="shared" si="0"/>
        <v>0</v>
      </c>
      <c r="N7" s="16">
        <f t="shared" si="0"/>
        <v>0</v>
      </c>
    </row>
    <row r="8" spans="2:19" x14ac:dyDescent="0.2">
      <c r="B8" s="17">
        <v>1</v>
      </c>
      <c r="C8" s="17"/>
      <c r="D8" s="51" t="s">
        <v>54</v>
      </c>
      <c r="E8" s="17"/>
      <c r="F8" s="17"/>
      <c r="G8" s="17"/>
      <c r="H8" s="46"/>
      <c r="I8" s="18"/>
      <c r="J8" s="17"/>
      <c r="K8" s="19">
        <f>G8*(J8/60)</f>
        <v>0</v>
      </c>
      <c r="L8" s="20">
        <f>(G8*Parámetros!$B$1)*Parámetros!$B$2/60</f>
        <v>0</v>
      </c>
      <c r="M8" s="17"/>
      <c r="N8" s="19">
        <f>G8*(M8/60)</f>
        <v>0</v>
      </c>
    </row>
    <row r="9" spans="2:19" x14ac:dyDescent="0.2">
      <c r="B9" s="17"/>
      <c r="C9" s="17"/>
      <c r="D9" s="51" t="s">
        <v>55</v>
      </c>
      <c r="E9" s="17"/>
      <c r="F9" s="17"/>
      <c r="G9" s="17"/>
      <c r="H9" s="46"/>
      <c r="I9" s="18"/>
      <c r="J9" s="17"/>
      <c r="K9" s="19">
        <f>G9*(J9/60)</f>
        <v>0</v>
      </c>
      <c r="L9" s="20">
        <f>(G9*Parámetros!$B$1)*Parámetros!$B$2/60</f>
        <v>0</v>
      </c>
      <c r="M9" s="17"/>
      <c r="N9" s="19">
        <f>G9*(M9/60)</f>
        <v>0</v>
      </c>
    </row>
    <row r="10" spans="2:19" x14ac:dyDescent="0.2">
      <c r="B10" s="17"/>
      <c r="C10" s="17"/>
      <c r="D10" s="51" t="s">
        <v>56</v>
      </c>
      <c r="E10" s="17"/>
      <c r="F10" s="17"/>
      <c r="G10" s="17"/>
      <c r="H10" s="46"/>
      <c r="I10" s="18"/>
      <c r="J10" s="17"/>
      <c r="K10" s="45">
        <f>G10*(J10/60)</f>
        <v>0</v>
      </c>
      <c r="L10" s="20">
        <f>(G10*Parámetros!$B$1)*Parámetros!$B$2/60</f>
        <v>0</v>
      </c>
      <c r="M10" s="17"/>
      <c r="N10" s="19">
        <f>G10*(M10/60)</f>
        <v>0</v>
      </c>
    </row>
    <row r="11" spans="2:19" x14ac:dyDescent="0.2">
      <c r="B11" s="17"/>
      <c r="C11" s="17"/>
      <c r="D11" s="51" t="s">
        <v>57</v>
      </c>
      <c r="E11" s="17"/>
      <c r="F11" s="17"/>
      <c r="G11" s="17"/>
      <c r="H11" s="46"/>
      <c r="I11" s="18"/>
      <c r="J11" s="17"/>
      <c r="K11" s="19">
        <f>G11*(J11/60)</f>
        <v>0</v>
      </c>
      <c r="L11" s="20">
        <f>(G11*Parámetros!$B$1)*Parámetros!$B$2/60</f>
        <v>0</v>
      </c>
      <c r="M11" s="17"/>
      <c r="N11" s="19">
        <f>G11*(M11/60)</f>
        <v>0</v>
      </c>
    </row>
    <row r="12" spans="2:19" ht="13.5" thickBot="1" x14ac:dyDescent="0.25"/>
    <row r="13" spans="2:19" ht="13.5" thickBot="1" x14ac:dyDescent="0.25">
      <c r="B13" s="54" t="s">
        <v>52</v>
      </c>
      <c r="C13" s="55"/>
      <c r="D13" s="55"/>
      <c r="E13" s="56"/>
    </row>
    <row r="14" spans="2:19" x14ac:dyDescent="0.2"/>
    <row r="15" spans="2:19" ht="25.5" x14ac:dyDescent="0.2">
      <c r="B15" s="58" t="s">
        <v>30</v>
      </c>
      <c r="C15" s="58"/>
      <c r="D15" s="58"/>
      <c r="E15" s="9" t="s">
        <v>31</v>
      </c>
      <c r="J15" s="3"/>
    </row>
    <row r="16" spans="2:19" x14ac:dyDescent="0.2">
      <c r="B16" s="59" t="s">
        <v>58</v>
      </c>
      <c r="C16" s="59"/>
      <c r="D16" s="59"/>
      <c r="E16" s="21"/>
      <c r="F16" s="22"/>
      <c r="G16" s="4"/>
      <c r="I16" s="4"/>
      <c r="R16" s="5"/>
      <c r="S16" s="2"/>
    </row>
    <row r="17" spans="2:8" x14ac:dyDescent="0.2">
      <c r="B17" s="57" t="s">
        <v>59</v>
      </c>
      <c r="C17" s="57"/>
      <c r="D17" s="57"/>
      <c r="E17" s="21"/>
      <c r="G17" s="6"/>
    </row>
    <row r="18" spans="2:8" x14ac:dyDescent="0.2">
      <c r="B18" s="57" t="s">
        <v>6</v>
      </c>
      <c r="C18" s="57"/>
      <c r="D18" s="57"/>
      <c r="E18" s="23">
        <f>$G$7</f>
        <v>0</v>
      </c>
      <c r="G18" s="4"/>
    </row>
    <row r="19" spans="2:8" ht="15" x14ac:dyDescent="0.25">
      <c r="B19" s="57" t="s">
        <v>17</v>
      </c>
      <c r="C19" s="57"/>
      <c r="D19" s="57"/>
      <c r="E19" s="50"/>
      <c r="G19" s="6"/>
      <c r="H19" s="29" t="s">
        <v>45</v>
      </c>
    </row>
    <row r="20" spans="2:8" ht="15" x14ac:dyDescent="0.25">
      <c r="B20" s="57" t="s">
        <v>22</v>
      </c>
      <c r="C20" s="57"/>
      <c r="D20" s="57"/>
      <c r="E20" s="24">
        <f>$I$7</f>
        <v>0</v>
      </c>
      <c r="G20" s="6"/>
      <c r="H20" s="29" t="s">
        <v>46</v>
      </c>
    </row>
    <row r="21" spans="2:8" ht="15" x14ac:dyDescent="0.25">
      <c r="B21" s="57" t="s">
        <v>19</v>
      </c>
      <c r="C21" s="57"/>
      <c r="D21" s="57"/>
      <c r="E21" s="24">
        <f>$N$7</f>
        <v>0</v>
      </c>
      <c r="G21" s="6"/>
      <c r="H21" s="29" t="s">
        <v>47</v>
      </c>
    </row>
    <row r="22" spans="2:8" x14ac:dyDescent="0.2">
      <c r="B22" s="57" t="s">
        <v>20</v>
      </c>
      <c r="C22" s="57"/>
      <c r="D22" s="57"/>
      <c r="E22" s="24">
        <f>$K$7</f>
        <v>0</v>
      </c>
      <c r="G22" s="6"/>
      <c r="H22" s="6"/>
    </row>
    <row r="23" spans="2:8" x14ac:dyDescent="0.2">
      <c r="B23" s="57" t="s">
        <v>18</v>
      </c>
      <c r="C23" s="57"/>
      <c r="D23" s="57"/>
      <c r="E23" s="24">
        <f>$H$7</f>
        <v>0</v>
      </c>
    </row>
    <row r="24" spans="2:8" ht="25.5" customHeight="1" x14ac:dyDescent="0.2">
      <c r="B24" s="57" t="s">
        <v>21</v>
      </c>
      <c r="C24" s="57"/>
      <c r="D24" s="57"/>
      <c r="E24" s="24">
        <f>$L$7</f>
        <v>0</v>
      </c>
    </row>
    <row r="25" spans="2:8" ht="25.5" customHeight="1" x14ac:dyDescent="0.2">
      <c r="B25" s="57" t="s">
        <v>53</v>
      </c>
      <c r="C25" s="57"/>
      <c r="D25" s="57"/>
      <c r="E25" s="10"/>
    </row>
    <row r="26" spans="2:8" x14ac:dyDescent="0.2"/>
    <row r="49" spans="6:14" hidden="1" x14ac:dyDescent="0.2">
      <c r="F49" s="5"/>
      <c r="G49" s="3"/>
      <c r="H49" s="3"/>
      <c r="I49" s="3"/>
      <c r="J49" s="3"/>
      <c r="K49" s="3"/>
      <c r="L49" s="3"/>
      <c r="M49" s="3"/>
      <c r="N49" s="3"/>
    </row>
    <row r="50" spans="6:14" hidden="1" x14ac:dyDescent="0.2">
      <c r="F50" s="3"/>
      <c r="G50" s="3"/>
      <c r="H50" s="3"/>
      <c r="I50" s="3"/>
      <c r="J50" s="3"/>
      <c r="K50" s="3"/>
      <c r="L50" s="3"/>
      <c r="M50" s="3"/>
      <c r="N50" s="3"/>
    </row>
    <row r="51" spans="6:14" hidden="1" x14ac:dyDescent="0.2">
      <c r="N51" s="1" t="e">
        <f>Graficos!L22/Graficos!L20</f>
        <v>#DIV/0!</v>
      </c>
    </row>
  </sheetData>
  <mergeCells count="17">
    <mergeCell ref="B6:B7"/>
    <mergeCell ref="E5:H5"/>
    <mergeCell ref="I5:L5"/>
    <mergeCell ref="M5:N5"/>
    <mergeCell ref="B2:M3"/>
    <mergeCell ref="B13:E13"/>
    <mergeCell ref="B25:D25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</mergeCells>
  <phoneticPr fontId="14" type="noConversion"/>
  <hyperlinks>
    <hyperlink ref="H19" location="PROYECCIÓN_TIEMPOS_Y_COSTOS_ACUMULADOS" display="Proyección Tiempos y Costos Acumulados" xr:uid="{00000000-0004-0000-0000-000000000000}"/>
    <hyperlink ref="H20" location="Horas_acumuladas_Automatización_Vs_Manual" display="Horas acumuladas Automatización Vs Manual  " xr:uid="{00000000-0004-0000-0000-000001000000}"/>
    <hyperlink ref="H21" location="Costo_Acumulado_Automatización_Vs_Manual" display="Costo Acumulado Automatización Vs Manual " xr:uid="{00000000-0004-0000-0000-000002000000}"/>
  </hyperlinks>
  <pageMargins left="0.7" right="0.7" top="0.75" bottom="0.75" header="0.3" footer="0.3"/>
  <pageSetup paperSize="9" orientation="portrait" horizontalDpi="200" verticalDpi="200" r:id="rId1"/>
  <headerFooter>
    <oddHeader>&amp;R&amp;"Aptos"&amp;15&amp;K0000FF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0"/>
  <sheetViews>
    <sheetView showGridLines="0" showRowColHeaders="0" topLeftCell="A3" zoomScaleNormal="100" workbookViewId="0">
      <selection activeCell="G9" sqref="G9"/>
    </sheetView>
  </sheetViews>
  <sheetFormatPr baseColWidth="10" defaultColWidth="0" defaultRowHeight="12.75" zeroHeight="1" x14ac:dyDescent="0.2"/>
  <cols>
    <col min="1" max="1" width="2.140625" style="1" customWidth="1"/>
    <col min="2" max="2" width="16.7109375" style="40" customWidth="1"/>
    <col min="3" max="3" width="30.28515625" style="1" customWidth="1"/>
    <col min="4" max="4" width="14.42578125" style="1" customWidth="1"/>
    <col min="5" max="7" width="14.85546875" style="1" bestFit="1" customWidth="1"/>
    <col min="8" max="8" width="16.5703125" style="1" bestFit="1" customWidth="1"/>
    <col min="9" max="12" width="16.140625" style="1" bestFit="1" customWidth="1"/>
    <col min="13" max="13" width="15.85546875" style="1" bestFit="1" customWidth="1"/>
    <col min="14" max="14" width="17" style="1" bestFit="1" customWidth="1"/>
    <col min="15" max="15" width="16.5703125" style="1" bestFit="1" customWidth="1"/>
    <col min="16" max="16" width="16.85546875" style="1" bestFit="1" customWidth="1"/>
    <col min="17" max="18" width="17.28515625" style="1" bestFit="1" customWidth="1"/>
    <col min="19" max="19" width="11.42578125" style="1" customWidth="1"/>
    <col min="20" max="21" width="0" style="1" hidden="1" customWidth="1"/>
    <col min="22" max="16384" width="11.42578125" style="1" hidden="1"/>
  </cols>
  <sheetData>
    <row r="1" spans="2:18" x14ac:dyDescent="0.2">
      <c r="B1" s="1"/>
    </row>
    <row r="2" spans="2:18" ht="13.5" thickBot="1" x14ac:dyDescent="0.25">
      <c r="B2" s="1"/>
    </row>
    <row r="3" spans="2:18" ht="12.75" customHeight="1" x14ac:dyDescent="0.2">
      <c r="B3" s="61" t="s">
        <v>32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3"/>
    </row>
    <row r="4" spans="2:18" ht="12.75" customHeight="1" thickBot="1" x14ac:dyDescent="0.25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6"/>
    </row>
    <row r="5" spans="2:18" x14ac:dyDescent="0.2">
      <c r="B5" s="1"/>
      <c r="E5" s="70" t="s">
        <v>74</v>
      </c>
      <c r="F5" s="70"/>
      <c r="G5" s="70" t="s">
        <v>75</v>
      </c>
      <c r="H5" s="70"/>
      <c r="I5" s="70" t="s">
        <v>76</v>
      </c>
      <c r="J5" s="70"/>
      <c r="K5" s="70" t="s">
        <v>77</v>
      </c>
      <c r="L5" s="70"/>
      <c r="M5" s="70" t="s">
        <v>78</v>
      </c>
      <c r="N5" s="70"/>
      <c r="O5" s="70" t="s">
        <v>79</v>
      </c>
      <c r="P5" s="70"/>
      <c r="Q5" s="70" t="s">
        <v>80</v>
      </c>
      <c r="R5" s="70"/>
    </row>
    <row r="6" spans="2:18" ht="25.5" x14ac:dyDescent="0.2">
      <c r="B6" s="7"/>
      <c r="C6" s="11"/>
      <c r="D6" s="9" t="s">
        <v>7</v>
      </c>
      <c r="E6" s="9" t="s">
        <v>60</v>
      </c>
      <c r="F6" s="9" t="s">
        <v>61</v>
      </c>
      <c r="G6" s="9" t="s">
        <v>62</v>
      </c>
      <c r="H6" s="9" t="s">
        <v>63</v>
      </c>
      <c r="I6" s="9" t="s">
        <v>64</v>
      </c>
      <c r="J6" s="9" t="s">
        <v>65</v>
      </c>
      <c r="K6" s="9" t="s">
        <v>66</v>
      </c>
      <c r="L6" s="9" t="s">
        <v>67</v>
      </c>
      <c r="M6" s="9" t="s">
        <v>68</v>
      </c>
      <c r="N6" s="9" t="s">
        <v>69</v>
      </c>
      <c r="O6" s="9" t="s">
        <v>70</v>
      </c>
      <c r="P6" s="9" t="s">
        <v>71</v>
      </c>
      <c r="Q6" s="9" t="s">
        <v>72</v>
      </c>
      <c r="R6" s="9" t="s">
        <v>73</v>
      </c>
    </row>
    <row r="7" spans="2:18" x14ac:dyDescent="0.2">
      <c r="B7" s="67" t="s">
        <v>39</v>
      </c>
      <c r="C7" s="31" t="s">
        <v>11</v>
      </c>
      <c r="D7" s="32">
        <v>0</v>
      </c>
      <c r="E7" s="32">
        <f>ROI!E21</f>
        <v>0</v>
      </c>
      <c r="F7" s="32">
        <f t="shared" ref="F7:R7" si="0">E7</f>
        <v>0</v>
      </c>
      <c r="G7" s="32">
        <f t="shared" si="0"/>
        <v>0</v>
      </c>
      <c r="H7" s="32">
        <f t="shared" si="0"/>
        <v>0</v>
      </c>
      <c r="I7" s="32">
        <f t="shared" si="0"/>
        <v>0</v>
      </c>
      <c r="J7" s="32">
        <f t="shared" si="0"/>
        <v>0</v>
      </c>
      <c r="K7" s="32">
        <f t="shared" si="0"/>
        <v>0</v>
      </c>
      <c r="L7" s="32">
        <f t="shared" si="0"/>
        <v>0</v>
      </c>
      <c r="M7" s="32">
        <f t="shared" si="0"/>
        <v>0</v>
      </c>
      <c r="N7" s="32">
        <f t="shared" si="0"/>
        <v>0</v>
      </c>
      <c r="O7" s="32">
        <f t="shared" si="0"/>
        <v>0</v>
      </c>
      <c r="P7" s="32">
        <f t="shared" si="0"/>
        <v>0</v>
      </c>
      <c r="Q7" s="32">
        <f t="shared" si="0"/>
        <v>0</v>
      </c>
      <c r="R7" s="32">
        <f t="shared" si="0"/>
        <v>0</v>
      </c>
    </row>
    <row r="8" spans="2:18" x14ac:dyDescent="0.2">
      <c r="B8" s="67"/>
      <c r="C8" s="31" t="s">
        <v>12</v>
      </c>
      <c r="D8" s="32">
        <v>0</v>
      </c>
      <c r="E8" s="32">
        <f>ROI!H7</f>
        <v>0</v>
      </c>
      <c r="F8" s="32">
        <f t="shared" ref="F8:R8" si="1">E8</f>
        <v>0</v>
      </c>
      <c r="G8" s="32">
        <f t="shared" si="1"/>
        <v>0</v>
      </c>
      <c r="H8" s="32">
        <f t="shared" si="1"/>
        <v>0</v>
      </c>
      <c r="I8" s="32">
        <f t="shared" si="1"/>
        <v>0</v>
      </c>
      <c r="J8" s="32">
        <f t="shared" si="1"/>
        <v>0</v>
      </c>
      <c r="K8" s="32">
        <f t="shared" si="1"/>
        <v>0</v>
      </c>
      <c r="L8" s="32">
        <f t="shared" si="1"/>
        <v>0</v>
      </c>
      <c r="M8" s="32">
        <f t="shared" si="1"/>
        <v>0</v>
      </c>
      <c r="N8" s="32">
        <f t="shared" si="1"/>
        <v>0</v>
      </c>
      <c r="O8" s="32">
        <f t="shared" si="1"/>
        <v>0</v>
      </c>
      <c r="P8" s="32">
        <f t="shared" si="1"/>
        <v>0</v>
      </c>
      <c r="Q8" s="32">
        <f t="shared" si="1"/>
        <v>0</v>
      </c>
      <c r="R8" s="32">
        <f t="shared" si="1"/>
        <v>0</v>
      </c>
    </row>
    <row r="9" spans="2:18" x14ac:dyDescent="0.2">
      <c r="B9" s="67"/>
      <c r="C9" s="31" t="s">
        <v>42</v>
      </c>
      <c r="D9" s="32">
        <f>D7+D8</f>
        <v>0</v>
      </c>
      <c r="E9" s="53">
        <f t="shared" ref="E9:R9" si="2">D9+E7+E8</f>
        <v>0</v>
      </c>
      <c r="F9" s="53">
        <f t="shared" si="2"/>
        <v>0</v>
      </c>
      <c r="G9" s="53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</row>
    <row r="10" spans="2:18" ht="26.25" customHeight="1" x14ac:dyDescent="0.2">
      <c r="B10" s="67"/>
      <c r="C10" s="38" t="s">
        <v>14</v>
      </c>
      <c r="D10" s="33">
        <f>ROI!$E$16*D9</f>
        <v>0</v>
      </c>
      <c r="E10" s="33">
        <f>ROI!$E$16*E9</f>
        <v>0</v>
      </c>
      <c r="F10" s="33">
        <f>ROI!$E$16*F9</f>
        <v>0</v>
      </c>
      <c r="G10" s="33">
        <f>ROI!$E$16*G9</f>
        <v>0</v>
      </c>
      <c r="H10" s="33">
        <f>ROI!$E$16*H9</f>
        <v>0</v>
      </c>
      <c r="I10" s="33">
        <f>ROI!$E$16*I9</f>
        <v>0</v>
      </c>
      <c r="J10" s="33">
        <f>ROI!$E$16*J9</f>
        <v>0</v>
      </c>
      <c r="K10" s="33">
        <f>ROI!$E$16*K9</f>
        <v>0</v>
      </c>
      <c r="L10" s="33">
        <f>ROI!$E$16*L9</f>
        <v>0</v>
      </c>
      <c r="M10" s="33">
        <f>ROI!$E$16*M9</f>
        <v>0</v>
      </c>
      <c r="N10" s="33">
        <f>ROI!$E$16*N9</f>
        <v>0</v>
      </c>
      <c r="O10" s="33">
        <f>ROI!$E$16*O9</f>
        <v>0</v>
      </c>
      <c r="P10" s="33">
        <f>ROI!$E$16*P9</f>
        <v>0</v>
      </c>
      <c r="Q10" s="33">
        <f>ROI!$E$16*Q9</f>
        <v>0</v>
      </c>
      <c r="R10" s="33">
        <f>ROI!$E$16*R9</f>
        <v>0</v>
      </c>
    </row>
    <row r="11" spans="2:18" x14ac:dyDescent="0.2">
      <c r="B11" s="68" t="s">
        <v>40</v>
      </c>
      <c r="C11" s="14" t="s">
        <v>8</v>
      </c>
      <c r="D11" s="35">
        <f>ROI!E20</f>
        <v>0</v>
      </c>
      <c r="E11" s="52">
        <f>ROI!E25</f>
        <v>0</v>
      </c>
      <c r="F11" s="52">
        <f t="shared" ref="F11:R11" si="3">E11</f>
        <v>0</v>
      </c>
      <c r="G11" s="52">
        <f t="shared" si="3"/>
        <v>0</v>
      </c>
      <c r="H11" s="52">
        <f t="shared" si="3"/>
        <v>0</v>
      </c>
      <c r="I11" s="52">
        <f t="shared" si="3"/>
        <v>0</v>
      </c>
      <c r="J11" s="52">
        <f t="shared" si="3"/>
        <v>0</v>
      </c>
      <c r="K11" s="52">
        <f t="shared" si="3"/>
        <v>0</v>
      </c>
      <c r="L11" s="52">
        <f t="shared" si="3"/>
        <v>0</v>
      </c>
      <c r="M11" s="52">
        <f t="shared" si="3"/>
        <v>0</v>
      </c>
      <c r="N11" s="52">
        <f t="shared" si="3"/>
        <v>0</v>
      </c>
      <c r="O11" s="52">
        <f t="shared" si="3"/>
        <v>0</v>
      </c>
      <c r="P11" s="52">
        <f t="shared" si="3"/>
        <v>0</v>
      </c>
      <c r="Q11" s="52">
        <f t="shared" si="3"/>
        <v>0</v>
      </c>
      <c r="R11" s="52">
        <f t="shared" si="3"/>
        <v>0</v>
      </c>
    </row>
    <row r="12" spans="2:18" x14ac:dyDescent="0.2">
      <c r="B12" s="68"/>
      <c r="C12" s="14" t="s">
        <v>13</v>
      </c>
      <c r="D12" s="15">
        <f>ROI!E22</f>
        <v>0</v>
      </c>
      <c r="E12" s="15">
        <f>ROI!E22</f>
        <v>0</v>
      </c>
      <c r="F12" s="15">
        <f t="shared" ref="F12:R12" si="4">E12</f>
        <v>0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0</v>
      </c>
      <c r="P12" s="15">
        <f t="shared" si="4"/>
        <v>0</v>
      </c>
      <c r="Q12" s="15">
        <f t="shared" si="4"/>
        <v>0</v>
      </c>
      <c r="R12" s="15">
        <f t="shared" si="4"/>
        <v>0</v>
      </c>
    </row>
    <row r="13" spans="2:18" x14ac:dyDescent="0.2">
      <c r="B13" s="68"/>
      <c r="C13" s="14" t="s">
        <v>9</v>
      </c>
      <c r="D13" s="15">
        <f>ROI!E23</f>
        <v>0</v>
      </c>
      <c r="E13" s="15">
        <f>ROI!$H$7</f>
        <v>0</v>
      </c>
      <c r="F13" s="15">
        <f t="shared" ref="F13:R13" si="5">E13</f>
        <v>0</v>
      </c>
      <c r="G13" s="15">
        <f t="shared" si="5"/>
        <v>0</v>
      </c>
      <c r="H13" s="15">
        <f t="shared" si="5"/>
        <v>0</v>
      </c>
      <c r="I13" s="15">
        <f t="shared" si="5"/>
        <v>0</v>
      </c>
      <c r="J13" s="15">
        <f t="shared" si="5"/>
        <v>0</v>
      </c>
      <c r="K13" s="15">
        <f t="shared" si="5"/>
        <v>0</v>
      </c>
      <c r="L13" s="15">
        <f t="shared" si="5"/>
        <v>0</v>
      </c>
      <c r="M13" s="15">
        <f t="shared" si="5"/>
        <v>0</v>
      </c>
      <c r="N13" s="15">
        <f t="shared" si="5"/>
        <v>0</v>
      </c>
      <c r="O13" s="15">
        <f t="shared" si="5"/>
        <v>0</v>
      </c>
      <c r="P13" s="15">
        <f t="shared" si="5"/>
        <v>0</v>
      </c>
      <c r="Q13" s="15">
        <f t="shared" si="5"/>
        <v>0</v>
      </c>
      <c r="R13" s="15">
        <f t="shared" si="5"/>
        <v>0</v>
      </c>
    </row>
    <row r="14" spans="2:18" x14ac:dyDescent="0.2">
      <c r="B14" s="68"/>
      <c r="C14" s="14" t="s">
        <v>10</v>
      </c>
      <c r="D14" s="15">
        <f>ROI!E24</f>
        <v>0</v>
      </c>
      <c r="E14" s="15">
        <f>ROI!L7</f>
        <v>0</v>
      </c>
      <c r="F14" s="15">
        <f t="shared" ref="F14:R14" si="6">E14</f>
        <v>0</v>
      </c>
      <c r="G14" s="15">
        <f t="shared" si="6"/>
        <v>0</v>
      </c>
      <c r="H14" s="15">
        <f t="shared" si="6"/>
        <v>0</v>
      </c>
      <c r="I14" s="15">
        <f t="shared" si="6"/>
        <v>0</v>
      </c>
      <c r="J14" s="15">
        <f t="shared" si="6"/>
        <v>0</v>
      </c>
      <c r="K14" s="15">
        <f t="shared" si="6"/>
        <v>0</v>
      </c>
      <c r="L14" s="15">
        <f t="shared" si="6"/>
        <v>0</v>
      </c>
      <c r="M14" s="15">
        <f t="shared" si="6"/>
        <v>0</v>
      </c>
      <c r="N14" s="15">
        <f t="shared" si="6"/>
        <v>0</v>
      </c>
      <c r="O14" s="15">
        <f t="shared" si="6"/>
        <v>0</v>
      </c>
      <c r="P14" s="15">
        <f t="shared" si="6"/>
        <v>0</v>
      </c>
      <c r="Q14" s="15">
        <f t="shared" si="6"/>
        <v>0</v>
      </c>
      <c r="R14" s="15">
        <f t="shared" si="6"/>
        <v>0</v>
      </c>
    </row>
    <row r="15" spans="2:18" ht="25.5" x14ac:dyDescent="0.2">
      <c r="B15" s="68"/>
      <c r="C15" s="14" t="s">
        <v>15</v>
      </c>
      <c r="D15" s="15">
        <f>D11</f>
        <v>0</v>
      </c>
      <c r="E15" s="53">
        <f>$D$15+E13+SUM(E14,E11)</f>
        <v>0</v>
      </c>
      <c r="F15" s="53">
        <f t="shared" ref="F15:R15" si="7">E15+F13+SUM(F14,F11)</f>
        <v>0</v>
      </c>
      <c r="G15" s="53">
        <f t="shared" si="7"/>
        <v>0</v>
      </c>
      <c r="H15" s="15">
        <f t="shared" si="7"/>
        <v>0</v>
      </c>
      <c r="I15" s="15">
        <f t="shared" si="7"/>
        <v>0</v>
      </c>
      <c r="J15" s="15">
        <f t="shared" si="7"/>
        <v>0</v>
      </c>
      <c r="K15" s="15">
        <f t="shared" si="7"/>
        <v>0</v>
      </c>
      <c r="L15" s="15">
        <f t="shared" si="7"/>
        <v>0</v>
      </c>
      <c r="M15" s="15">
        <f t="shared" si="7"/>
        <v>0</v>
      </c>
      <c r="N15" s="15">
        <f t="shared" si="7"/>
        <v>0</v>
      </c>
      <c r="O15" s="15">
        <f t="shared" si="7"/>
        <v>0</v>
      </c>
      <c r="P15" s="15">
        <f t="shared" si="7"/>
        <v>0</v>
      </c>
      <c r="Q15" s="15">
        <f t="shared" si="7"/>
        <v>0</v>
      </c>
      <c r="R15" s="15">
        <f t="shared" si="7"/>
        <v>0</v>
      </c>
    </row>
    <row r="16" spans="2:18" ht="26.25" customHeight="1" x14ac:dyDescent="0.2">
      <c r="B16" s="68"/>
      <c r="C16" s="39" t="s">
        <v>16</v>
      </c>
      <c r="D16" s="34">
        <f>ROI!$E$17*D15</f>
        <v>0</v>
      </c>
      <c r="E16" s="34">
        <f>ROI!$E$17*E15</f>
        <v>0</v>
      </c>
      <c r="F16" s="34">
        <f>ROI!$E$17*F15</f>
        <v>0</v>
      </c>
      <c r="G16" s="34">
        <f>ROI!$E$17*G15</f>
        <v>0</v>
      </c>
      <c r="H16" s="34">
        <f>ROI!$E$17*H15</f>
        <v>0</v>
      </c>
      <c r="I16" s="34">
        <f>ROI!$E$17*I15</f>
        <v>0</v>
      </c>
      <c r="J16" s="34">
        <f>ROI!$E$17*J15</f>
        <v>0</v>
      </c>
      <c r="K16" s="34">
        <f>ROI!$E$17*K15</f>
        <v>0</v>
      </c>
      <c r="L16" s="34">
        <f>ROI!$E$17*L15</f>
        <v>0</v>
      </c>
      <c r="M16" s="34">
        <f>ROI!$E$17*M15</f>
        <v>0</v>
      </c>
      <c r="N16" s="34">
        <f>ROI!$E$17*N15</f>
        <v>0</v>
      </c>
      <c r="O16" s="34">
        <f>ROI!$E$17*O15</f>
        <v>0</v>
      </c>
      <c r="P16" s="34">
        <f>ROI!$E$17*P15</f>
        <v>0</v>
      </c>
      <c r="Q16" s="34">
        <f>ROI!$E$17*Q15</f>
        <v>0</v>
      </c>
      <c r="R16" s="34">
        <f>ROI!$E$17*R15</f>
        <v>0</v>
      </c>
    </row>
    <row r="17" spans="2:18" ht="25.5" x14ac:dyDescent="0.2">
      <c r="B17" s="69" t="s">
        <v>41</v>
      </c>
      <c r="C17" s="12" t="s">
        <v>43</v>
      </c>
      <c r="D17" s="25">
        <f>(D15-D9)</f>
        <v>0</v>
      </c>
      <c r="E17" s="25">
        <f t="shared" ref="E17:R17" si="8">$D$17+(E15-E9)</f>
        <v>0</v>
      </c>
      <c r="F17" s="25">
        <f t="shared" si="8"/>
        <v>0</v>
      </c>
      <c r="G17" s="25">
        <f t="shared" si="8"/>
        <v>0</v>
      </c>
      <c r="H17" s="25">
        <f t="shared" si="8"/>
        <v>0</v>
      </c>
      <c r="I17" s="25">
        <f t="shared" si="8"/>
        <v>0</v>
      </c>
      <c r="J17" s="25">
        <f t="shared" si="8"/>
        <v>0</v>
      </c>
      <c r="K17" s="25">
        <f t="shared" si="8"/>
        <v>0</v>
      </c>
      <c r="L17" s="25">
        <f t="shared" si="8"/>
        <v>0</v>
      </c>
      <c r="M17" s="25">
        <f t="shared" si="8"/>
        <v>0</v>
      </c>
      <c r="N17" s="25">
        <f t="shared" si="8"/>
        <v>0</v>
      </c>
      <c r="O17" s="25">
        <f t="shared" si="8"/>
        <v>0</v>
      </c>
      <c r="P17" s="25">
        <f t="shared" si="8"/>
        <v>0</v>
      </c>
      <c r="Q17" s="25">
        <f t="shared" si="8"/>
        <v>0</v>
      </c>
      <c r="R17" s="25">
        <f t="shared" si="8"/>
        <v>0</v>
      </c>
    </row>
    <row r="18" spans="2:18" x14ac:dyDescent="0.2">
      <c r="B18" s="69"/>
      <c r="C18" s="26" t="s">
        <v>34</v>
      </c>
      <c r="D18" s="27">
        <v>0</v>
      </c>
      <c r="E18" s="27">
        <f t="shared" ref="E18:R18" si="9">E9-D9</f>
        <v>0</v>
      </c>
      <c r="F18" s="27">
        <f t="shared" si="9"/>
        <v>0</v>
      </c>
      <c r="G18" s="27">
        <f t="shared" si="9"/>
        <v>0</v>
      </c>
      <c r="H18" s="27">
        <f t="shared" si="9"/>
        <v>0</v>
      </c>
      <c r="I18" s="27">
        <f t="shared" si="9"/>
        <v>0</v>
      </c>
      <c r="J18" s="27">
        <f t="shared" si="9"/>
        <v>0</v>
      </c>
      <c r="K18" s="27">
        <f t="shared" si="9"/>
        <v>0</v>
      </c>
      <c r="L18" s="27">
        <f t="shared" si="9"/>
        <v>0</v>
      </c>
      <c r="M18" s="27">
        <f t="shared" si="9"/>
        <v>0</v>
      </c>
      <c r="N18" s="27">
        <f t="shared" si="9"/>
        <v>0</v>
      </c>
      <c r="O18" s="27">
        <f t="shared" si="9"/>
        <v>0</v>
      </c>
      <c r="P18" s="27">
        <f t="shared" si="9"/>
        <v>0</v>
      </c>
      <c r="Q18" s="27">
        <f t="shared" si="9"/>
        <v>0</v>
      </c>
      <c r="R18" s="27">
        <f t="shared" si="9"/>
        <v>0</v>
      </c>
    </row>
    <row r="19" spans="2:18" ht="15" customHeight="1" x14ac:dyDescent="0.2">
      <c r="B19" s="69"/>
      <c r="C19" s="26" t="s">
        <v>33</v>
      </c>
      <c r="D19" s="27">
        <v>0</v>
      </c>
      <c r="E19" s="27">
        <f t="shared" ref="E19:K19" si="10">E15-D15</f>
        <v>0</v>
      </c>
      <c r="F19" s="27">
        <f t="shared" si="10"/>
        <v>0</v>
      </c>
      <c r="G19" s="27">
        <f t="shared" si="10"/>
        <v>0</v>
      </c>
      <c r="H19" s="27">
        <f t="shared" si="10"/>
        <v>0</v>
      </c>
      <c r="I19" s="27">
        <f t="shared" si="10"/>
        <v>0</v>
      </c>
      <c r="J19" s="27">
        <f t="shared" si="10"/>
        <v>0</v>
      </c>
      <c r="K19" s="27">
        <f t="shared" si="10"/>
        <v>0</v>
      </c>
      <c r="L19" s="26"/>
      <c r="M19" s="26"/>
      <c r="N19" s="26"/>
      <c r="O19" s="26"/>
      <c r="P19" s="26"/>
      <c r="Q19" s="26"/>
      <c r="R19" s="26"/>
    </row>
    <row r="20" spans="2:18" x14ac:dyDescent="0.2">
      <c r="B20" s="69"/>
      <c r="C20" s="26" t="s">
        <v>36</v>
      </c>
      <c r="D20" s="13">
        <v>0</v>
      </c>
      <c r="E20" s="28">
        <f t="shared" ref="E20:R20" si="11">E10-D10</f>
        <v>0</v>
      </c>
      <c r="F20" s="28">
        <f t="shared" si="11"/>
        <v>0</v>
      </c>
      <c r="G20" s="28">
        <f t="shared" si="11"/>
        <v>0</v>
      </c>
      <c r="H20" s="28">
        <f t="shared" si="11"/>
        <v>0</v>
      </c>
      <c r="I20" s="28">
        <f t="shared" si="11"/>
        <v>0</v>
      </c>
      <c r="J20" s="28">
        <f t="shared" si="11"/>
        <v>0</v>
      </c>
      <c r="K20" s="28">
        <f t="shared" si="11"/>
        <v>0</v>
      </c>
      <c r="L20" s="28">
        <f t="shared" si="11"/>
        <v>0</v>
      </c>
      <c r="M20" s="28">
        <f t="shared" si="11"/>
        <v>0</v>
      </c>
      <c r="N20" s="28">
        <f t="shared" si="11"/>
        <v>0</v>
      </c>
      <c r="O20" s="28">
        <f t="shared" si="11"/>
        <v>0</v>
      </c>
      <c r="P20" s="28">
        <f t="shared" si="11"/>
        <v>0</v>
      </c>
      <c r="Q20" s="28">
        <f t="shared" si="11"/>
        <v>0</v>
      </c>
      <c r="R20" s="28">
        <f t="shared" si="11"/>
        <v>0</v>
      </c>
    </row>
    <row r="21" spans="2:18" x14ac:dyDescent="0.2">
      <c r="B21" s="69"/>
      <c r="C21" s="26" t="s">
        <v>35</v>
      </c>
      <c r="D21" s="13">
        <v>0</v>
      </c>
      <c r="E21" s="28">
        <f t="shared" ref="E21:R21" si="12">E16-D16</f>
        <v>0</v>
      </c>
      <c r="F21" s="28">
        <f t="shared" si="12"/>
        <v>0</v>
      </c>
      <c r="G21" s="28">
        <f t="shared" si="12"/>
        <v>0</v>
      </c>
      <c r="H21" s="28">
        <f t="shared" si="12"/>
        <v>0</v>
      </c>
      <c r="I21" s="28">
        <f t="shared" si="12"/>
        <v>0</v>
      </c>
      <c r="J21" s="28">
        <f t="shared" si="12"/>
        <v>0</v>
      </c>
      <c r="K21" s="28">
        <f t="shared" si="12"/>
        <v>0</v>
      </c>
      <c r="L21" s="28">
        <f t="shared" si="12"/>
        <v>0</v>
      </c>
      <c r="M21" s="28">
        <f t="shared" si="12"/>
        <v>0</v>
      </c>
      <c r="N21" s="28">
        <f t="shared" si="12"/>
        <v>0</v>
      </c>
      <c r="O21" s="28">
        <f t="shared" si="12"/>
        <v>0</v>
      </c>
      <c r="P21" s="28">
        <f t="shared" si="12"/>
        <v>0</v>
      </c>
      <c r="Q21" s="28">
        <f t="shared" si="12"/>
        <v>0</v>
      </c>
      <c r="R21" s="28">
        <f t="shared" si="12"/>
        <v>0</v>
      </c>
    </row>
    <row r="22" spans="2:18" x14ac:dyDescent="0.2">
      <c r="B22" s="69"/>
      <c r="C22" s="37" t="s">
        <v>37</v>
      </c>
      <c r="D22" s="36">
        <v>0</v>
      </c>
      <c r="E22" s="36">
        <f t="shared" ref="E22:R22" si="13">E20-E21</f>
        <v>0</v>
      </c>
      <c r="F22" s="36">
        <f t="shared" si="13"/>
        <v>0</v>
      </c>
      <c r="G22" s="36">
        <f t="shared" si="13"/>
        <v>0</v>
      </c>
      <c r="H22" s="36">
        <f t="shared" si="13"/>
        <v>0</v>
      </c>
      <c r="I22" s="36">
        <f t="shared" si="13"/>
        <v>0</v>
      </c>
      <c r="J22" s="36">
        <f t="shared" si="13"/>
        <v>0</v>
      </c>
      <c r="K22" s="36">
        <f t="shared" si="13"/>
        <v>0</v>
      </c>
      <c r="L22" s="36">
        <f t="shared" si="13"/>
        <v>0</v>
      </c>
      <c r="M22" s="36">
        <f t="shared" si="13"/>
        <v>0</v>
      </c>
      <c r="N22" s="36">
        <f t="shared" si="13"/>
        <v>0</v>
      </c>
      <c r="O22" s="36">
        <f t="shared" si="13"/>
        <v>0</v>
      </c>
      <c r="P22" s="36">
        <f t="shared" si="13"/>
        <v>0</v>
      </c>
      <c r="Q22" s="36">
        <f t="shared" si="13"/>
        <v>0</v>
      </c>
      <c r="R22" s="36">
        <f t="shared" si="13"/>
        <v>0</v>
      </c>
    </row>
    <row r="23" spans="2:18" x14ac:dyDescent="0.2">
      <c r="B23" s="69"/>
      <c r="C23" s="37" t="s">
        <v>38</v>
      </c>
      <c r="D23" s="36">
        <v>0</v>
      </c>
      <c r="E23" s="36">
        <f t="shared" ref="E23:R23" si="14">D23+E22</f>
        <v>0</v>
      </c>
      <c r="F23" s="36">
        <f t="shared" si="14"/>
        <v>0</v>
      </c>
      <c r="G23" s="36">
        <f t="shared" si="14"/>
        <v>0</v>
      </c>
      <c r="H23" s="36">
        <f t="shared" si="14"/>
        <v>0</v>
      </c>
      <c r="I23" s="36">
        <f t="shared" si="14"/>
        <v>0</v>
      </c>
      <c r="J23" s="36">
        <f t="shared" si="14"/>
        <v>0</v>
      </c>
      <c r="K23" s="36">
        <f t="shared" si="14"/>
        <v>0</v>
      </c>
      <c r="L23" s="36">
        <f t="shared" si="14"/>
        <v>0</v>
      </c>
      <c r="M23" s="36">
        <f t="shared" si="14"/>
        <v>0</v>
      </c>
      <c r="N23" s="36">
        <f t="shared" si="14"/>
        <v>0</v>
      </c>
      <c r="O23" s="36">
        <f t="shared" si="14"/>
        <v>0</v>
      </c>
      <c r="P23" s="36">
        <f t="shared" si="14"/>
        <v>0</v>
      </c>
      <c r="Q23" s="36">
        <f t="shared" si="14"/>
        <v>0</v>
      </c>
      <c r="R23" s="36">
        <f t="shared" si="14"/>
        <v>0</v>
      </c>
    </row>
    <row r="24" spans="2:18" x14ac:dyDescent="0.2">
      <c r="B24" s="1"/>
    </row>
    <row r="25" spans="2:18" x14ac:dyDescent="0.2">
      <c r="B25" s="1"/>
    </row>
    <row r="26" spans="2:18" x14ac:dyDescent="0.2">
      <c r="B26" s="1"/>
    </row>
    <row r="27" spans="2:18" x14ac:dyDescent="0.2">
      <c r="B27" s="1"/>
    </row>
    <row r="28" spans="2:18" x14ac:dyDescent="0.2">
      <c r="B28" s="1"/>
    </row>
    <row r="29" spans="2:18" x14ac:dyDescent="0.2">
      <c r="B29" s="1"/>
    </row>
    <row r="30" spans="2:18" x14ac:dyDescent="0.2">
      <c r="B30" s="1"/>
    </row>
    <row r="31" spans="2:18" x14ac:dyDescent="0.2">
      <c r="B31" s="1"/>
    </row>
    <row r="32" spans="2:18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/>
    <row r="41" spans="2:2" x14ac:dyDescent="0.2">
      <c r="B41" s="30" t="s">
        <v>46</v>
      </c>
    </row>
    <row r="42" spans="2:2" x14ac:dyDescent="0.2"/>
    <row r="43" spans="2:2" x14ac:dyDescent="0.2"/>
    <row r="44" spans="2:2" x14ac:dyDescent="0.2"/>
    <row r="45" spans="2:2" x14ac:dyDescent="0.2"/>
    <row r="46" spans="2:2" x14ac:dyDescent="0.2"/>
    <row r="47" spans="2:2" x14ac:dyDescent="0.2"/>
    <row r="48" spans="2:2" x14ac:dyDescent="0.2"/>
    <row r="49" spans="2:2" x14ac:dyDescent="0.2"/>
    <row r="50" spans="2:2" x14ac:dyDescent="0.2"/>
    <row r="51" spans="2:2" x14ac:dyDescent="0.2"/>
    <row r="52" spans="2:2" x14ac:dyDescent="0.2"/>
    <row r="53" spans="2:2" x14ac:dyDescent="0.2"/>
    <row r="54" spans="2:2" x14ac:dyDescent="0.2"/>
    <row r="55" spans="2:2" x14ac:dyDescent="0.2"/>
    <row r="56" spans="2:2" x14ac:dyDescent="0.2"/>
    <row r="57" spans="2:2" x14ac:dyDescent="0.2"/>
    <row r="58" spans="2:2" x14ac:dyDescent="0.2"/>
    <row r="59" spans="2:2" x14ac:dyDescent="0.2">
      <c r="B59" s="30" t="s">
        <v>47</v>
      </c>
    </row>
    <row r="60" spans="2:2" x14ac:dyDescent="0.2"/>
    <row r="61" spans="2:2" x14ac:dyDescent="0.2"/>
    <row r="62" spans="2:2" x14ac:dyDescent="0.2"/>
    <row r="63" spans="2:2" x14ac:dyDescent="0.2"/>
    <row r="64" spans="2:2" x14ac:dyDescent="0.2"/>
    <row r="65" x14ac:dyDescent="0.2"/>
    <row r="66" x14ac:dyDescent="0.2"/>
    <row r="67" x14ac:dyDescent="0.2"/>
    <row r="68" x14ac:dyDescent="0.2"/>
    <row r="69" x14ac:dyDescent="0.2"/>
    <row r="70" x14ac:dyDescent="0.2"/>
  </sheetData>
  <mergeCells count="11">
    <mergeCell ref="B7:B10"/>
    <mergeCell ref="B11:B16"/>
    <mergeCell ref="B17:B23"/>
    <mergeCell ref="B3:R4"/>
    <mergeCell ref="E5:F5"/>
    <mergeCell ref="G5:H5"/>
    <mergeCell ref="I5:J5"/>
    <mergeCell ref="K5:L5"/>
    <mergeCell ref="M5:N5"/>
    <mergeCell ref="O5:P5"/>
    <mergeCell ref="Q5:R5"/>
  </mergeCells>
  <phoneticPr fontId="14" type="noConversion"/>
  <pageMargins left="0.7" right="0.7" top="0.75" bottom="0.75" header="0.3" footer="0.3"/>
  <pageSetup orientation="portrait" r:id="rId1"/>
  <headerFooter>
    <oddHeader>&amp;R&amp;"Aptos"&amp;15&amp;K0000FF INTERNO&amp;1#_x000D_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1" sqref="B1"/>
    </sheetView>
  </sheetViews>
  <sheetFormatPr baseColWidth="10" defaultRowHeight="15" x14ac:dyDescent="0.25"/>
  <cols>
    <col min="1" max="1" width="28.28515625" bestFit="1" customWidth="1"/>
  </cols>
  <sheetData>
    <row r="1" spans="1:2" ht="45" x14ac:dyDescent="0.25">
      <c r="A1" s="47" t="s">
        <v>50</v>
      </c>
      <c r="B1" s="48">
        <v>0.3</v>
      </c>
    </row>
    <row r="2" spans="1:2" ht="45" x14ac:dyDescent="0.25">
      <c r="A2" s="47" t="s">
        <v>51</v>
      </c>
      <c r="B2" s="49">
        <v>5</v>
      </c>
    </row>
  </sheetData>
  <pageMargins left="0.7" right="0.7" top="0.75" bottom="0.75" header="0.3" footer="0.3"/>
  <headerFooter>
    <oddHeader>&amp;R&amp;"Aptos"&amp;15&amp;K0000FF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ROI</vt:lpstr>
      <vt:lpstr>Graficos</vt:lpstr>
      <vt:lpstr>Parámetros</vt:lpstr>
      <vt:lpstr>Graficos!Área_de_impresión</vt:lpstr>
      <vt:lpstr>Costo_Acumulado_Automatización_Vs_Manual</vt:lpstr>
      <vt:lpstr>Horas_acumuladas_Automatización_Vs_Manual</vt:lpstr>
      <vt:lpstr>PROYECCIÓN_TIEMPOS_Y_COSTOS_ACUMULADOS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Alonso Ruiz</dc:creator>
  <cp:lastModifiedBy>Yeison Ferney Arias Castrillon</cp:lastModifiedBy>
  <dcterms:created xsi:type="dcterms:W3CDTF">2012-10-30T12:40:58Z</dcterms:created>
  <dcterms:modified xsi:type="dcterms:W3CDTF">2025-11-27T19:48:08Z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e08776-4684-4191-b91a-500a51a25870_Enabled">
    <vt:lpwstr>true</vt:lpwstr>
  </property>
  <property fmtid="{D5CDD505-2E9C-101B-9397-08002B2CF9AE}" pid="3" name="MSIP_Label_bce08776-4684-4191-b91a-500a51a25870_SetDate">
    <vt:lpwstr>2025-11-27T19:46:56Z</vt:lpwstr>
  </property>
  <property fmtid="{D5CDD505-2E9C-101B-9397-08002B2CF9AE}" pid="4" name="MSIP_Label_bce08776-4684-4191-b91a-500a51a25870_Method">
    <vt:lpwstr>Privileged</vt:lpwstr>
  </property>
  <property fmtid="{D5CDD505-2E9C-101B-9397-08002B2CF9AE}" pid="5" name="MSIP_Label_bce08776-4684-4191-b91a-500a51a25870_Name">
    <vt:lpwstr>General</vt:lpwstr>
  </property>
  <property fmtid="{D5CDD505-2E9C-101B-9397-08002B2CF9AE}" pid="6" name="MSIP_Label_bce08776-4684-4191-b91a-500a51a25870_SiteId">
    <vt:lpwstr>d240b2ce-2fed-49c3-9165-a84265e9cd33</vt:lpwstr>
  </property>
  <property fmtid="{D5CDD505-2E9C-101B-9397-08002B2CF9AE}" pid="7" name="MSIP_Label_bce08776-4684-4191-b91a-500a51a25870_ActionId">
    <vt:lpwstr>fceec96e-c7c1-4fba-baab-e034c1038e14</vt:lpwstr>
  </property>
  <property fmtid="{D5CDD505-2E9C-101B-9397-08002B2CF9AE}" pid="8" name="MSIP_Label_bce08776-4684-4191-b91a-500a51a25870_ContentBits">
    <vt:lpwstr>1</vt:lpwstr>
  </property>
  <property fmtid="{D5CDD505-2E9C-101B-9397-08002B2CF9AE}" pid="9" name="MSIP_Label_bce08776-4684-4191-b91a-500a51a25870_Tag">
    <vt:lpwstr>10, 0, 1, 1</vt:lpwstr>
  </property>
</Properties>
</file>